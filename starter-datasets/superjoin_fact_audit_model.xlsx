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Variance Matrix" sheetId="1" state="visible" r:id="rId1"/>
    <sheet name="Fact Inventory" sheetId="2" state="visible" r:id="rId2"/>
    <sheet name="Reconciliation Audit Tr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%&quot;"/>
    <numFmt numFmtId="165" formatCode="0.0%"/>
    <numFmt numFmtId="166" formatCode="₹#,##0"/>
  </numFmts>
  <fonts count="11">
    <font>
      <name val="Calibri"/>
      <family val="2"/>
      <color theme="1"/>
      <sz val="11"/>
      <scheme val="minor"/>
    </font>
    <font>
      <name val="Calibri"/>
      <b val="1"/>
      <color rgb="00312E81"/>
      <sz val="14"/>
    </font>
    <font>
      <name val="Calibri"/>
      <i val="1"/>
      <color rgb="0064748B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color rgb="0064748B"/>
      <sz val="10"/>
    </font>
    <font>
      <name val="Calibri"/>
      <b val="1"/>
      <color rgb="00166534"/>
      <sz val="10"/>
    </font>
    <font>
      <name val="Calibri"/>
      <sz val="9"/>
    </font>
    <font>
      <name val="Calibri"/>
      <b val="1"/>
      <color rgb="00991B1B"/>
      <sz val="10"/>
    </font>
    <font>
      <name val="Calibri"/>
      <b val="1"/>
      <color rgb="00854D0E"/>
      <sz val="10"/>
    </font>
  </fonts>
  <fills count="8">
    <fill>
      <patternFill/>
    </fill>
    <fill>
      <patternFill patternType="gray125"/>
    </fill>
    <fill>
      <patternFill patternType="solid">
        <fgColor rgb="00312E81"/>
        <bgColor rgb="00312E81"/>
      </patternFill>
    </fill>
    <fill>
      <patternFill patternType="solid">
        <fgColor rgb="00DCFCE7"/>
        <bgColor rgb="00DCFCE7"/>
      </patternFill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164" fontId="4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7" fillId="3" borderId="1" applyAlignment="1" pivotButton="0" quotePrefix="0" xfId="0">
      <alignment horizontal="center"/>
    </xf>
    <xf numFmtId="166" fontId="4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0" fontId="3" fillId="4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/>
    </xf>
    <xf numFmtId="0" fontId="8" fillId="0" borderId="1" pivotButton="0" quotePrefix="0" xfId="0"/>
    <xf numFmtId="0" fontId="8" fillId="0" borderId="1" applyAlignment="1" pivotButton="0" quotePrefix="0" xfId="0">
      <alignment horizontal="right"/>
    </xf>
    <xf numFmtId="0" fontId="8" fillId="5" borderId="1" applyAlignment="1" pivotButton="0" quotePrefix="0" xfId="0">
      <alignment horizontal="center"/>
    </xf>
    <xf numFmtId="0" fontId="8" fillId="5" borderId="1" pivotButton="0" quotePrefix="0" xfId="0"/>
    <xf numFmtId="0" fontId="8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6" customWidth="1" min="3" max="3"/>
    <col width="42" customWidth="1" min="4" max="4"/>
    <col width="45" customWidth="1" min="5" max="5"/>
    <col width="48" customWidth="1" min="6" max="6"/>
    <col width="42" customWidth="1" min="7" max="7"/>
    <col width="48" customWidth="1" min="8" max="8"/>
    <col width="15" customWidth="1" min="9" max="9"/>
  </cols>
  <sheetData>
    <row r="1">
      <c r="A1" s="1" t="inlineStr">
        <is>
          <t>SUPERJOIN FINANCE · FACT AUDIT &amp; VARIANCE MODEL</t>
        </is>
      </c>
    </row>
    <row r="2">
      <c r="A2" s="2" t="inlineStr">
        <is>
          <t>Automated Cross-Document Verification · 3 Filings Analyzed · 22 Facts Grounded</t>
        </is>
      </c>
    </row>
    <row r="3"/>
    <row r="4">
      <c r="A4" s="3" t="inlineStr">
        <is>
          <t>Metric Category</t>
        </is>
      </c>
      <c r="B4" s="3" t="inlineStr">
        <is>
          <t>Canonical Metric</t>
        </is>
      </c>
      <c r="C4" s="3" t="inlineStr">
        <is>
          <t>Standard Unit</t>
        </is>
      </c>
      <c r="D4" s="3" t="inlineStr">
        <is>
          <t>01-delhivery-prospectus-2022 (Reported)</t>
        </is>
      </c>
      <c r="E4" s="3" t="inlineStr">
        <is>
          <t>02-delhivery-annual-report-fy24 (Reported)</t>
        </is>
      </c>
      <c r="F4" s="3" t="inlineStr">
        <is>
          <t>03-delhivery-q4-fy24-earnings-presentation (Reported)</t>
        </is>
      </c>
      <c r="G4" s="3" t="inlineStr">
        <is>
          <t>Variance (Formula)</t>
        </is>
      </c>
      <c r="H4" s="3" t="inlineStr">
        <is>
          <t>% Change (Formula)</t>
        </is>
      </c>
      <c r="I4" s="3" t="inlineStr">
        <is>
          <t>Audit Status</t>
        </is>
      </c>
    </row>
    <row r="5">
      <c r="A5" s="4" t="inlineStr">
        <is>
          <t>Financial</t>
        </is>
      </c>
      <c r="B5" s="5" t="inlineStr">
        <is>
          <t>Ebitda</t>
        </is>
      </c>
      <c r="C5" s="6" t="inlineStr">
        <is>
          <t>PERCENT</t>
        </is>
      </c>
      <c r="D5" s="7" t="n">
        <v>-6.9</v>
      </c>
      <c r="E5" s="7" t="n">
        <v>2.2</v>
      </c>
      <c r="F5" s="7" t="n">
        <v>4.1</v>
      </c>
      <c r="G5" s="8">
        <f>IF(OR(D5="-", E5="-"), "-", E5-D5)</f>
        <v/>
      </c>
      <c r="H5" s="9">
        <f>IF(OR(D5="-", E5="-", D5=0), "-", (E5-D5)/D5)</f>
        <v/>
      </c>
      <c r="I5" s="10" t="inlineStr">
        <is>
          <t>Verified</t>
        </is>
      </c>
    </row>
    <row r="6">
      <c r="A6" s="4" t="inlineStr">
        <is>
          <t>Financial</t>
        </is>
      </c>
      <c r="B6" s="5" t="inlineStr">
        <is>
          <t>Revenue</t>
        </is>
      </c>
      <c r="C6" s="6" t="inlineStr">
        <is>
          <t>INR</t>
        </is>
      </c>
      <c r="D6" s="11" t="n">
        <v>36465000000</v>
      </c>
      <c r="E6" s="11" t="n">
        <v>12.8</v>
      </c>
      <c r="F6" s="11" t="n">
        <v>24</v>
      </c>
      <c r="G6" s="8">
        <f>IF(OR(D6="-", E6="-"), "-", E6-D6)</f>
        <v/>
      </c>
      <c r="H6" s="9">
        <f>IF(OR(D6="-", E6="-", D6=0), "-", (E6-D6)/D6)</f>
        <v/>
      </c>
      <c r="I6" s="10" t="inlineStr">
        <is>
          <t>Verified</t>
        </is>
      </c>
    </row>
    <row r="7">
      <c r="A7" s="4" t="inlineStr">
        <is>
          <t>General</t>
        </is>
      </c>
      <c r="B7" s="5" t="inlineStr">
        <is>
          <t>Metric</t>
        </is>
      </c>
      <c r="C7" s="6" t="inlineStr">
        <is>
          <t>INR</t>
        </is>
      </c>
      <c r="D7" s="11" t="n">
        <v>86</v>
      </c>
      <c r="E7" s="11" t="n">
        <v>24</v>
      </c>
      <c r="F7" s="11" t="n">
        <v>63</v>
      </c>
      <c r="G7" s="8">
        <f>IF(OR(D7="-", E7="-"), "-", E7-D7)</f>
        <v/>
      </c>
      <c r="H7" s="9">
        <f>IF(OR(D7="-", E7="-", D7=0), "-", (E7-D7)/D7)</f>
        <v/>
      </c>
      <c r="I7" s="10" t="inlineStr">
        <is>
          <t>Verified</t>
        </is>
      </c>
    </row>
    <row r="8">
      <c r="A8" s="4" t="inlineStr">
        <is>
          <t>Infrastructure</t>
        </is>
      </c>
      <c r="B8" s="5" t="inlineStr">
        <is>
          <t>Pincodes</t>
        </is>
      </c>
      <c r="C8" s="6" t="inlineStr">
        <is>
          <t>PERCENT</t>
        </is>
      </c>
      <c r="D8" s="7" t="n">
        <v>88.3</v>
      </c>
      <c r="E8" s="7" t="n">
        <v>96</v>
      </c>
      <c r="F8" s="7" t="n">
        <v>18600</v>
      </c>
      <c r="G8" s="8">
        <f>IF(OR(D8="-", E8="-"), "-", E8-D8)</f>
        <v/>
      </c>
      <c r="H8" s="9">
        <f>IF(OR(D8="-", E8="-", D8=0), "-", (E8-D8)/D8)</f>
        <v/>
      </c>
      <c r="I8" s="10" t="inlineStr">
        <is>
          <t>Verified</t>
        </is>
      </c>
    </row>
    <row r="9">
      <c r="A9" s="4" t="inlineStr">
        <is>
          <t>Operational</t>
        </is>
      </c>
      <c r="B9" s="5" t="inlineStr">
        <is>
          <t>Express Parcels</t>
        </is>
      </c>
      <c r="C9" s="6" t="inlineStr">
        <is>
          <t>COUNT</t>
        </is>
      </c>
      <c r="D9" s="12" t="n">
        <v>289000000</v>
      </c>
      <c r="E9" s="12" t="n">
        <v>740000000</v>
      </c>
      <c r="F9" s="12" t="n">
        <v>740000000</v>
      </c>
      <c r="G9" s="8">
        <f>IF(OR(D9="-", E9="-"), "-", E9-D9)</f>
        <v/>
      </c>
      <c r="H9" s="9">
        <f>IF(OR(D9="-", E9="-", D9=0), "-", (E9-D9)/D9)</f>
        <v/>
      </c>
      <c r="I9" s="10" t="inlineStr">
        <is>
          <t>Verified</t>
        </is>
      </c>
    </row>
    <row r="10">
      <c r="A10" s="4" t="inlineStr">
        <is>
          <t>Operational</t>
        </is>
      </c>
      <c r="B10" s="5" t="inlineStr">
        <is>
          <t>Ptl Freight</t>
        </is>
      </c>
      <c r="C10" s="6" t="inlineStr">
        <is>
          <t>TONS</t>
        </is>
      </c>
      <c r="D10" s="12" t="n">
        <v>360000</v>
      </c>
      <c r="E10" s="12" t="n">
        <v>29.8</v>
      </c>
      <c r="F10" s="12" t="n">
        <v>29.8</v>
      </c>
      <c r="G10" s="8">
        <f>IF(OR(D10="-", E10="-"), "-", E10-D10)</f>
        <v/>
      </c>
      <c r="H10" s="9">
        <f>IF(OR(D10="-", E10="-", D10=0), "-", (E10-D10)/D10)</f>
        <v/>
      </c>
      <c r="I10" s="10" t="inlineStr">
        <is>
          <t>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30" customWidth="1" min="4" max="4"/>
    <col width="48" customWidth="1" min="5" max="5"/>
    <col width="48" customWidth="1" min="6" max="6"/>
    <col width="19" customWidth="1" min="7" max="7"/>
    <col width="12" customWidth="1" min="8" max="8"/>
    <col width="22" customWidth="1" min="9" max="9"/>
  </cols>
  <sheetData>
    <row r="1">
      <c r="A1" s="13" t="inlineStr">
        <is>
          <t>Fact ID</t>
        </is>
      </c>
      <c r="B1" s="13" t="inlineStr">
        <is>
          <t>Source Document</t>
        </is>
      </c>
      <c r="C1" s="13" t="inlineStr">
        <is>
          <t>Page #</t>
        </is>
      </c>
      <c r="D1" s="13" t="inlineStr">
        <is>
          <t>Canonical Metric</t>
        </is>
      </c>
      <c r="E1" s="13" t="inlineStr">
        <is>
          <t>Fact Statement</t>
        </is>
      </c>
      <c r="F1" s="13" t="inlineStr">
        <is>
          <t>Verbatim Evidence Quote</t>
        </is>
      </c>
      <c r="G1" s="13" t="inlineStr">
        <is>
          <t>Normalized Value</t>
        </is>
      </c>
      <c r="H1" s="13" t="inlineStr">
        <is>
          <t>Unit</t>
        </is>
      </c>
      <c r="I1" s="13" t="inlineStr">
        <is>
          <t>Accounting Basis</t>
        </is>
      </c>
    </row>
    <row r="2">
      <c r="A2" s="14" t="inlineStr">
        <is>
          <t>FACT-001</t>
        </is>
      </c>
      <c r="B2" s="15" t="inlineStr">
        <is>
          <t>01-delhivery-prospectus-2022-excerpt.pdf</t>
        </is>
      </c>
      <c r="C2" s="14" t="n">
        <v>31</v>
      </c>
      <c r="D2" s="15" t="inlineStr">
        <is>
          <t>financial.revenue</t>
        </is>
      </c>
      <c r="E2" s="15" t="inlineStr">
        <is>
          <t>Delhivery generated revenue from operations of ₹3,646.5 Cr in FY21.</t>
        </is>
      </c>
      <c r="F2" s="15" t="inlineStr">
        <is>
          <t>"Our revenue from contracts with customers was ₹36,465.27 million in Fiscal 2021"</t>
        </is>
      </c>
      <c r="G2" s="16" t="n">
        <v>36465000000</v>
      </c>
      <c r="H2" s="14" t="inlineStr">
        <is>
          <t>INR</t>
        </is>
      </c>
      <c r="I2" s="14" t="inlineStr">
        <is>
          <t>Standard Reporting</t>
        </is>
      </c>
    </row>
    <row r="3">
      <c r="A3" s="17" t="inlineStr">
        <is>
          <t>FACT-002</t>
        </is>
      </c>
      <c r="B3" s="18" t="inlineStr">
        <is>
          <t>01-delhivery-prospectus-2022-excerpt.pdf</t>
        </is>
      </c>
      <c r="C3" s="17" t="n">
        <v>102</v>
      </c>
      <c r="D3" s="18" t="inlineStr">
        <is>
          <t>infrastructure.pincodes</t>
        </is>
      </c>
      <c r="E3" s="18" t="inlineStr">
        <is>
          <t>Delhivery covered over 17,000 pin codes across India, reaching approximately 88.3% of India's population in 2021.</t>
        </is>
      </c>
      <c r="F3" s="18" t="inlineStr">
        <is>
          <t>"We covered 17,042 pin codes, representing 88.3% of the total 19,300 pin codes in India as of June 30, 2021."</t>
        </is>
      </c>
      <c r="G3" s="19" t="n">
        <v>88.3</v>
      </c>
      <c r="H3" s="17" t="inlineStr">
        <is>
          <t>PERCENT</t>
        </is>
      </c>
      <c r="I3" s="17" t="inlineStr">
        <is>
          <t>Standard Reporting</t>
        </is>
      </c>
    </row>
    <row r="4">
      <c r="A4" s="14" t="inlineStr">
        <is>
          <t>FACT-003</t>
        </is>
      </c>
      <c r="B4" s="15" t="inlineStr">
        <is>
          <t>01-delhivery-prospectus-2022-excerpt.pdf</t>
        </is>
      </c>
      <c r="C4" s="14" t="n">
        <v>104</v>
      </c>
      <c r="D4" s="15" t="inlineStr">
        <is>
          <t>operational.express_parcels</t>
        </is>
      </c>
      <c r="E4" s="15" t="inlineStr">
        <is>
          <t>Delhivery handled 289 million express parcel shipments in FY21.</t>
        </is>
      </c>
      <c r="F4" s="15" t="inlineStr">
        <is>
          <t>"We shipped 289.20 million express parcel orders in Fiscal 2021."</t>
        </is>
      </c>
      <c r="G4" s="16" t="n">
        <v>289000000</v>
      </c>
      <c r="H4" s="14" t="inlineStr">
        <is>
          <t>COUNT</t>
        </is>
      </c>
      <c r="I4" s="14" t="inlineStr">
        <is>
          <t>Standard Reporting</t>
        </is>
      </c>
    </row>
    <row r="5">
      <c r="A5" s="17" t="inlineStr">
        <is>
          <t>FACT-004</t>
        </is>
      </c>
      <c r="B5" s="18" t="inlineStr">
        <is>
          <t>01-delhivery-prospectus-2022-excerpt.pdf</t>
        </is>
      </c>
      <c r="C5" s="17" t="n">
        <v>107</v>
      </c>
      <c r="D5" s="18" t="inlineStr">
        <is>
          <t>operational.ptl_freight</t>
        </is>
      </c>
      <c r="E5" s="18" t="inlineStr">
        <is>
          <t>Delhivery handled 0.36 million metric tonnes of PTL (Part Truckload) freight in FY21.</t>
        </is>
      </c>
      <c r="F5" s="18" t="inlineStr">
        <is>
          <t>"Our PTL freight volume was 359,850 metric tonnes in Fiscal 2021."</t>
        </is>
      </c>
      <c r="G5" s="19" t="n">
        <v>360000</v>
      </c>
      <c r="H5" s="17" t="inlineStr">
        <is>
          <t>TONS</t>
        </is>
      </c>
      <c r="I5" s="17" t="inlineStr">
        <is>
          <t>Standard Reporting</t>
        </is>
      </c>
    </row>
    <row r="6">
      <c r="A6" s="14" t="inlineStr">
        <is>
          <t>FACT-005</t>
        </is>
      </c>
      <c r="B6" s="15" t="inlineStr">
        <is>
          <t>01-delhivery-prospectus-2022-excerpt.pdf</t>
        </is>
      </c>
      <c r="C6" s="14" t="n">
        <v>115</v>
      </c>
      <c r="D6" s="15" t="inlineStr">
        <is>
          <t>general.metric</t>
        </is>
      </c>
      <c r="E6" s="15" t="inlineStr">
        <is>
          <t>Delhivery operated 86 gateways and 20 automated sort centers across India as of June 2021.</t>
        </is>
      </c>
      <c r="F6" s="15" t="inlineStr">
        <is>
          <t>"Our nationwide network included 86 gateways and 20 automated sort centers across India as of June 30, 2021."</t>
        </is>
      </c>
      <c r="G6" s="16" t="n">
        <v>86</v>
      </c>
      <c r="H6" s="14" t="inlineStr">
        <is>
          <t>INR</t>
        </is>
      </c>
      <c r="I6" s="14" t="inlineStr">
        <is>
          <t>Standard Reporting</t>
        </is>
      </c>
    </row>
    <row r="7">
      <c r="A7" s="17" t="inlineStr">
        <is>
          <t>FACT-006</t>
        </is>
      </c>
      <c r="B7" s="18" t="inlineStr">
        <is>
          <t>01-delhivery-prospectus-2022-excerpt.pdf</t>
        </is>
      </c>
      <c r="C7" s="17" t="n">
        <v>33</v>
      </c>
      <c r="D7" s="18" t="inlineStr">
        <is>
          <t>financial.ebitda</t>
        </is>
      </c>
      <c r="E7" s="18" t="inlineStr">
        <is>
          <t>Delhivery reported an Adjusted EBITDA of negative ₹253.2 Cr in FY21 (-6.9% margin).</t>
        </is>
      </c>
      <c r="F7" s="18" t="inlineStr">
        <is>
          <t>"Adjusted EBITDA for Fiscal 2021 was ₹(2,532.06) million, representing an Adjusted EBITDA margin of (6.94)%."</t>
        </is>
      </c>
      <c r="G7" s="19" t="n">
        <v>-6.9</v>
      </c>
      <c r="H7" s="17" t="inlineStr">
        <is>
          <t>PERCENT</t>
        </is>
      </c>
      <c r="I7" s="17" t="inlineStr">
        <is>
          <t>Non-GAAP (Adjusted)</t>
        </is>
      </c>
    </row>
    <row r="8">
      <c r="A8" s="14" t="inlineStr">
        <is>
          <t>FACT-007</t>
        </is>
      </c>
      <c r="B8" s="15" t="inlineStr">
        <is>
          <t>01-delhivery-prospectus-2022-excerpt.pdf</t>
        </is>
      </c>
      <c r="C8" s="14" t="n">
        <v>118</v>
      </c>
      <c r="D8" s="15" t="inlineStr">
        <is>
          <t>operational.ptl_freight</t>
        </is>
      </c>
      <c r="E8" s="15" t="inlineStr">
        <is>
          <t>Delhivery stated an operational objective to achieve 15% market share in organized PTL freight by FY24.</t>
        </is>
      </c>
      <c r="F8" s="15" t="inlineStr">
        <is>
          <t>"We aim to expand our market share in the organized B2B express and PTL freight market to approximately 15% by Fiscal 2024."</t>
        </is>
      </c>
      <c r="G8" s="16" t="n">
        <v>15</v>
      </c>
      <c r="H8" s="14" t="inlineStr">
        <is>
          <t>PERCENT</t>
        </is>
      </c>
      <c r="I8" s="14" t="inlineStr">
        <is>
          <t>Standard Reporting</t>
        </is>
      </c>
    </row>
    <row r="9">
      <c r="A9" s="17" t="inlineStr">
        <is>
          <t>FACT-008</t>
        </is>
      </c>
      <c r="B9" s="18" t="inlineStr">
        <is>
          <t>01-delhivery-prospectus-2022-excerpt.pdf</t>
        </is>
      </c>
      <c r="C9" s="17" t="n">
        <v>250</v>
      </c>
      <c r="D9" s="18" t="inlineStr">
        <is>
          <t>general.metric</t>
        </is>
      </c>
      <c r="E9" s="18" t="inlineStr">
        <is>
          <t>Delhivery was founded by Sahil Barua, Mohit Tandon, Bhavesh Manglani, Suraj Saharan, and Kapil Bharati.</t>
        </is>
      </c>
      <c r="F9" s="18" t="inlineStr">
        <is>
          <t>"Our Promoters and key founders are Sahil Barua, Mohit Tandon, Bhavesh Manglani, Suraj Saharan and Kapil Bharati."</t>
        </is>
      </c>
      <c r="G9" s="19" t="inlineStr">
        <is>
          <t>-</t>
        </is>
      </c>
      <c r="H9" s="17" t="inlineStr">
        <is>
          <t>UNKNOWN</t>
        </is>
      </c>
      <c r="I9" s="17" t="inlineStr">
        <is>
          <t>Standard Reporting</t>
        </is>
      </c>
    </row>
    <row r="10">
      <c r="A10" s="14" t="inlineStr">
        <is>
          <t>FACT-009</t>
        </is>
      </c>
      <c r="B10" s="15" t="inlineStr">
        <is>
          <t>02-delhivery-annual-report-fy24-excerpt.pdf</t>
        </is>
      </c>
      <c r="C10" s="14" t="n">
        <v>14</v>
      </c>
      <c r="D10" s="15" t="inlineStr">
        <is>
          <t>financial.revenue</t>
        </is>
      </c>
      <c r="E10" s="15" t="inlineStr">
        <is>
          <t>Delhivery reported revenue from operations of ₹8,142 Cr in FY24, reflecting a 12.8% year-on-year growth.</t>
        </is>
      </c>
      <c r="F10" s="15" t="inlineStr">
        <is>
          <t>"Revenue from operations grew 12.8% to ₹8,142 Cr in FY24 compared to ₹7,225 Cr in FY23."</t>
        </is>
      </c>
      <c r="G10" s="16" t="n">
        <v>12.8</v>
      </c>
      <c r="H10" s="14" t="inlineStr">
        <is>
          <t>PERCENT</t>
        </is>
      </c>
      <c r="I10" s="14" t="inlineStr">
        <is>
          <t>Ind AS / Statutory</t>
        </is>
      </c>
    </row>
    <row r="11">
      <c r="A11" s="17" t="inlineStr">
        <is>
          <t>FACT-010</t>
        </is>
      </c>
      <c r="B11" s="18" t="inlineStr">
        <is>
          <t>02-delhivery-annual-report-fy24-excerpt.pdf</t>
        </is>
      </c>
      <c r="C11" s="17" t="n">
        <v>8</v>
      </c>
      <c r="D11" s="18" t="inlineStr">
        <is>
          <t>infrastructure.pincodes</t>
        </is>
      </c>
      <c r="E11" s="18" t="inlineStr">
        <is>
          <t>Delhivery's network reach expanded to over 18,600 pin codes across India, covering over 96% of the population.</t>
        </is>
      </c>
      <c r="F11" s="18" t="inlineStr">
        <is>
          <t>"Our network now covers 18,600+ pin codes across all 28 states and union territories, reaching over 96% of the Indian population."</t>
        </is>
      </c>
      <c r="G11" s="19" t="n">
        <v>96</v>
      </c>
      <c r="H11" s="17" t="inlineStr">
        <is>
          <t>PERCENT</t>
        </is>
      </c>
      <c r="I11" s="17" t="inlineStr">
        <is>
          <t>Standard Reporting</t>
        </is>
      </c>
    </row>
    <row r="12">
      <c r="A12" s="14" t="inlineStr">
        <is>
          <t>FACT-011</t>
        </is>
      </c>
      <c r="B12" s="15" t="inlineStr">
        <is>
          <t>02-delhivery-annual-report-fy24-excerpt.pdf</t>
        </is>
      </c>
      <c r="C12" s="14" t="n">
        <v>16</v>
      </c>
      <c r="D12" s="15" t="inlineStr">
        <is>
          <t>operational.express_parcels</t>
        </is>
      </c>
      <c r="E12" s="15" t="inlineStr">
        <is>
          <t>Delhivery transported 740 million express parcels during FY24.</t>
        </is>
      </c>
      <c r="F12" s="15" t="inlineStr">
        <is>
          <t>"We handled 740 million express parcels during FY24, up from 663 million parcels in FY23."</t>
        </is>
      </c>
      <c r="G12" s="16" t="n">
        <v>740000000</v>
      </c>
      <c r="H12" s="14" t="inlineStr">
        <is>
          <t>COUNT</t>
        </is>
      </c>
      <c r="I12" s="14" t="inlineStr">
        <is>
          <t>Standard Reporting</t>
        </is>
      </c>
    </row>
    <row r="13">
      <c r="A13" s="17" t="inlineStr">
        <is>
          <t>FACT-012</t>
        </is>
      </c>
      <c r="B13" s="18" t="inlineStr">
        <is>
          <t>02-delhivery-annual-report-fy24-excerpt.pdf</t>
        </is>
      </c>
      <c r="C13" s="17" t="n">
        <v>18</v>
      </c>
      <c r="D13" s="18" t="inlineStr">
        <is>
          <t>operational.ptl_freight</t>
        </is>
      </c>
      <c r="E13" s="18" t="inlineStr">
        <is>
          <t>Delhivery handled 1.4 million metric tonnes of PTL freight in FY24, representing 29.8% YoY tonnage growth.</t>
        </is>
      </c>
      <c r="F13" s="18" t="inlineStr">
        <is>
          <t>"PTL freight volume expanded to 1.4 million tonnes in FY24, registering a robust 29.8% YoY growth."</t>
        </is>
      </c>
      <c r="G13" s="19" t="n">
        <v>29.8</v>
      </c>
      <c r="H13" s="17" t="inlineStr">
        <is>
          <t>PERCENT</t>
        </is>
      </c>
      <c r="I13" s="17" t="inlineStr">
        <is>
          <t>Standard Reporting</t>
        </is>
      </c>
    </row>
    <row r="14">
      <c r="A14" s="14" t="inlineStr">
        <is>
          <t>FACT-013</t>
        </is>
      </c>
      <c r="B14" s="15" t="inlineStr">
        <is>
          <t>02-delhivery-annual-report-fy24-excerpt.pdf</t>
        </is>
      </c>
      <c r="C14" s="14" t="n">
        <v>22</v>
      </c>
      <c r="D14" s="15" t="inlineStr">
        <is>
          <t>general.metric</t>
        </is>
      </c>
      <c r="E14" s="15" t="inlineStr">
        <is>
          <t>Delhivery operated 24 automated mega sortation centers and 111 gateways nationwide in FY24.</t>
        </is>
      </c>
      <c r="F14" s="15" t="inlineStr">
        <is>
          <t>"As of March 31, 2024, our physical infrastructure comprised 24 automated mega sort centers, 111 gateways and 3,000+ delivery centers."</t>
        </is>
      </c>
      <c r="G14" s="16" t="n">
        <v>24</v>
      </c>
      <c r="H14" s="14" t="inlineStr">
        <is>
          <t>COUNT</t>
        </is>
      </c>
      <c r="I14" s="14" t="inlineStr">
        <is>
          <t>Standard Reporting</t>
        </is>
      </c>
    </row>
    <row r="15">
      <c r="A15" s="17" t="inlineStr">
        <is>
          <t>FACT-014</t>
        </is>
      </c>
      <c r="B15" s="18" t="inlineStr">
        <is>
          <t>02-delhivery-annual-report-fy24-excerpt.pdf</t>
        </is>
      </c>
      <c r="C15" s="17" t="n">
        <v>48</v>
      </c>
      <c r="D15" s="18" t="inlineStr">
        <is>
          <t>financial.ebitda</t>
        </is>
      </c>
      <c r="E15" s="18" t="inlineStr">
        <is>
          <t>Delhivery recorded a reported statutory EBITDA margin of 2.2% (₹179 Cr) under Ind AS in FY24.</t>
        </is>
      </c>
      <c r="F15" s="18" t="inlineStr">
        <is>
          <t>"Reported EBITDA under Ind AS stood at ₹179 Cr for FY24, translating to an EBITDA margin of 2.2%."</t>
        </is>
      </c>
      <c r="G15" s="19" t="n">
        <v>2.2</v>
      </c>
      <c r="H15" s="17" t="inlineStr">
        <is>
          <t>PERCENT</t>
        </is>
      </c>
      <c r="I15" s="17" t="inlineStr">
        <is>
          <t>Ind AS / Statutory</t>
        </is>
      </c>
    </row>
    <row r="16">
      <c r="A16" s="14" t="inlineStr">
        <is>
          <t>FACT-015</t>
        </is>
      </c>
      <c r="B16" s="15" t="inlineStr">
        <is>
          <t>02-delhivery-annual-report-fy24-excerpt.pdf</t>
        </is>
      </c>
      <c r="C16" s="14" t="n">
        <v>20</v>
      </c>
      <c r="D16" s="15" t="inlineStr">
        <is>
          <t>operational.ptl_freight</t>
        </is>
      </c>
      <c r="E16" s="15" t="inlineStr">
        <is>
          <t>Delhivery's realized market share in organized PTL freight was approximately 8.3% in FY24.</t>
        </is>
      </c>
      <c r="F16" s="15" t="inlineStr">
        <is>
          <t>"According to industry estimates, our share of the organized PTL freight market reached approximately 8.3% in FY24."</t>
        </is>
      </c>
      <c r="G16" s="16" t="n">
        <v>8.300000000000001</v>
      </c>
      <c r="H16" s="14" t="inlineStr">
        <is>
          <t>PERCENT</t>
        </is>
      </c>
      <c r="I16" s="14" t="inlineStr">
        <is>
          <t>Standard Reporting</t>
        </is>
      </c>
    </row>
    <row r="17">
      <c r="A17" s="17" t="inlineStr">
        <is>
          <t>FACT-016</t>
        </is>
      </c>
      <c r="B17" s="18" t="inlineStr">
        <is>
          <t>02-delhivery-annual-report-fy24-excerpt.pdf</t>
        </is>
      </c>
      <c r="C17" s="17" t="n">
        <v>60</v>
      </c>
      <c r="D17" s="18" t="inlineStr">
        <is>
          <t>general.metric</t>
        </is>
      </c>
      <c r="E17" s="18" t="inlineStr">
        <is>
          <t>Sahil Barua served as Managing Director and Chief Executive Officer of Delhivery Limited in FY24.</t>
        </is>
      </c>
      <c r="F17" s="18" t="inlineStr">
        <is>
          <t>"Sahil Barua, Managing Director &amp; Chief Executive Officer, leads the executive management team."</t>
        </is>
      </c>
      <c r="G17" s="19" t="n">
        <v>24</v>
      </c>
      <c r="H17" s="17" t="inlineStr">
        <is>
          <t>COUNT</t>
        </is>
      </c>
      <c r="I17" s="17" t="inlineStr">
        <is>
          <t>Standard Reporting</t>
        </is>
      </c>
    </row>
    <row r="18">
      <c r="A18" s="14" t="inlineStr">
        <is>
          <t>FACT-017</t>
        </is>
      </c>
      <c r="B18" s="15" t="inlineStr">
        <is>
          <t>03-delhivery-q4-fy24-earnings-presentation.pdf</t>
        </is>
      </c>
      <c r="C18" s="14" t="n">
        <v>6</v>
      </c>
      <c r="D18" s="15" t="inlineStr">
        <is>
          <t>financial.revenue</t>
        </is>
      </c>
      <c r="E18" s="15" t="inlineStr">
        <is>
          <t>Delhivery recorded full-year FY24 revenue from operations of ₹8,142 Cr.</t>
        </is>
      </c>
      <c r="F18" s="15" t="inlineStr">
        <is>
          <t>"FY24 Revenue from services: ₹8,142 Cr (YoY growth of 13%)"</t>
        </is>
      </c>
      <c r="G18" s="16" t="n">
        <v>24</v>
      </c>
      <c r="H18" s="14" t="inlineStr">
        <is>
          <t>INR</t>
        </is>
      </c>
      <c r="I18" s="14" t="inlineStr">
        <is>
          <t>Standard Reporting</t>
        </is>
      </c>
    </row>
    <row r="19">
      <c r="A19" s="17" t="inlineStr">
        <is>
          <t>FACT-018</t>
        </is>
      </c>
      <c r="B19" s="18" t="inlineStr">
        <is>
          <t>03-delhivery-q4-fy24-earnings-presentation.pdf</t>
        </is>
      </c>
      <c r="C19" s="17" t="n">
        <v>5</v>
      </c>
      <c r="D19" s="18" t="inlineStr">
        <is>
          <t>infrastructure.pincodes</t>
        </is>
      </c>
      <c r="E19" s="18" t="inlineStr">
        <is>
          <t>Delhivery active delivery network spanned 18,600+ pin codes nationwide.</t>
        </is>
      </c>
      <c r="F19" s="18" t="inlineStr">
        <is>
          <t>"Reach: 18,600+ active pin codes across India as of Q4 FY24."</t>
        </is>
      </c>
      <c r="G19" s="19" t="n">
        <v>18600</v>
      </c>
      <c r="H19" s="17" t="inlineStr">
        <is>
          <t>COUNT</t>
        </is>
      </c>
      <c r="I19" s="17" t="inlineStr">
        <is>
          <t>Standard Reporting</t>
        </is>
      </c>
    </row>
    <row r="20">
      <c r="A20" s="14" t="inlineStr">
        <is>
          <t>FACT-019</t>
        </is>
      </c>
      <c r="B20" s="15" t="inlineStr">
        <is>
          <t>03-delhivery-q4-fy24-earnings-presentation.pdf</t>
        </is>
      </c>
      <c r="C20" s="14" t="n">
        <v>8</v>
      </c>
      <c r="D20" s="15" t="inlineStr">
        <is>
          <t>operational.express_parcels</t>
        </is>
      </c>
      <c r="E20" s="15" t="inlineStr">
        <is>
          <t>Delhivery shipped 740 million express parcels in full-year FY24 with 176 million in Q4 FY24.</t>
        </is>
      </c>
      <c r="F20" s="15" t="inlineStr">
        <is>
          <t>"Express Parcel volume: 740M for FY24 (176M in Q4 FY24)"</t>
        </is>
      </c>
      <c r="G20" s="16" t="n">
        <v>740000000</v>
      </c>
      <c r="H20" s="14" t="inlineStr">
        <is>
          <t>COUNT</t>
        </is>
      </c>
      <c r="I20" s="14" t="inlineStr">
        <is>
          <t>Standard Reporting</t>
        </is>
      </c>
    </row>
    <row r="21">
      <c r="A21" s="17" t="inlineStr">
        <is>
          <t>FACT-020</t>
        </is>
      </c>
      <c r="B21" s="18" t="inlineStr">
        <is>
          <t>03-delhivery-q4-fy24-earnings-presentation.pdf</t>
        </is>
      </c>
      <c r="C21" s="17" t="n">
        <v>6</v>
      </c>
      <c r="D21" s="18" t="inlineStr">
        <is>
          <t>operational.ptl_freight</t>
        </is>
      </c>
      <c r="E21" s="18" t="inlineStr">
        <is>
          <t>Delhivery handled 1.4 million metric tonnes of PTL freight in FY24 with 29.8% YoY growth.</t>
        </is>
      </c>
      <c r="F21" s="18" t="inlineStr">
        <is>
          <t>"1.4 Mn Tons PTL freight tonnage in FY24 (YoY: 29.8%)"</t>
        </is>
      </c>
      <c r="G21" s="19" t="n">
        <v>29.8</v>
      </c>
      <c r="H21" s="17" t="inlineStr">
        <is>
          <t>PERCENT</t>
        </is>
      </c>
      <c r="I21" s="17" t="inlineStr">
        <is>
          <t>Standard Reporting</t>
        </is>
      </c>
    </row>
    <row r="22">
      <c r="A22" s="14" t="inlineStr">
        <is>
          <t>FACT-021</t>
        </is>
      </c>
      <c r="B22" s="15" t="inlineStr">
        <is>
          <t>03-delhivery-q4-fy24-earnings-presentation.pdf</t>
        </is>
      </c>
      <c r="C22" s="14" t="n">
        <v>7</v>
      </c>
      <c r="D22" s="15" t="inlineStr">
        <is>
          <t>financial.ebitda</t>
        </is>
      </c>
      <c r="E22" s="15" t="inlineStr">
        <is>
          <t>Delhivery reported an Adjusted EBITDA margin of 4.1% for Q4 FY24 before non-cash integration amortization.</t>
        </is>
      </c>
      <c r="F22" s="15" t="inlineStr">
        <is>
          <t>"Q4 FY24 Adjusted EBITDA margin: 4.1% (₹85 Cr) excluding Spoton integration and non-cash items."</t>
        </is>
      </c>
      <c r="G22" s="16" t="n">
        <v>4.1</v>
      </c>
      <c r="H22" s="14" t="inlineStr">
        <is>
          <t>PERCENT</t>
        </is>
      </c>
      <c r="I22" s="14" t="inlineStr">
        <is>
          <t>Non-GAAP (Adjusted)</t>
        </is>
      </c>
    </row>
    <row r="23">
      <c r="A23" s="17" t="inlineStr">
        <is>
          <t>FACT-022</t>
        </is>
      </c>
      <c r="B23" s="18" t="inlineStr">
        <is>
          <t>03-delhivery-q4-fy24-earnings-presentation.pdf</t>
        </is>
      </c>
      <c r="C23" s="17" t="n">
        <v>11</v>
      </c>
      <c r="D23" s="18" t="inlineStr">
        <is>
          <t>general.metric</t>
        </is>
      </c>
      <c r="E23" s="18" t="inlineStr">
        <is>
          <t>Multi-column slide extraction produced unsegmented numbers: 63% 66% 59% 18% 17% 20% 1,860 2,194 2,076 without row labels.</t>
        </is>
      </c>
      <c r="F23" s="18" t="inlineStr">
        <is>
          <t>"63%
66%
59%
18%
17%
20%
1,860
2,194
2,076
Q4 FY23
Q3 FY24
Q4 FY24"</t>
        </is>
      </c>
      <c r="G23" s="19" t="n">
        <v>63</v>
      </c>
      <c r="H23" s="17" t="inlineStr">
        <is>
          <t>PERCENT</t>
        </is>
      </c>
      <c r="I23" s="17" t="inlineStr">
        <is>
          <t>Standard Reporting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8" customWidth="1" min="3" max="3"/>
    <col width="48" customWidth="1" min="4" max="4"/>
    <col width="48" customWidth="1" min="5" max="5"/>
    <col width="48" customWidth="1" min="6" max="6"/>
    <col width="30" customWidth="1" min="7" max="7"/>
    <col width="48" customWidth="1" min="8" max="8"/>
    <col width="13" customWidth="1" min="9" max="9"/>
  </cols>
  <sheetData>
    <row r="1">
      <c r="A1" s="20" t="inlineStr">
        <is>
          <t>Rel ID</t>
        </is>
      </c>
      <c r="B1" s="20" t="inlineStr">
        <is>
          <t>Relationship Type</t>
        </is>
      </c>
      <c r="C1" s="20" t="inlineStr">
        <is>
          <t>Fact A Document &amp; Page</t>
        </is>
      </c>
      <c r="D1" s="20" t="inlineStr">
        <is>
          <t>Fact A Verbatim Evidence</t>
        </is>
      </c>
      <c r="E1" s="20" t="inlineStr">
        <is>
          <t>Fact B Document &amp; Page</t>
        </is>
      </c>
      <c r="F1" s="20" t="inlineStr">
        <is>
          <t>Fact B Verbatim Evidence</t>
        </is>
      </c>
      <c r="G1" s="20" t="inlineStr">
        <is>
          <t>Mathematical Delta</t>
        </is>
      </c>
      <c r="H1" s="20" t="inlineStr">
        <is>
          <t>Analytical Explanation</t>
        </is>
      </c>
      <c r="I1" s="20" t="inlineStr">
        <is>
          <t>Confidence</t>
        </is>
      </c>
    </row>
    <row r="2">
      <c r="A2" s="14" t="inlineStr">
        <is>
          <t>REL-001</t>
        </is>
      </c>
      <c r="B2" s="21" t="inlineStr">
        <is>
          <t>SUPPORTS</t>
        </is>
      </c>
      <c r="C2" s="15" t="inlineStr">
        <is>
          <t>02-delhivery-annual-report-fy24-excerpt.pdf (p.14)</t>
        </is>
      </c>
      <c r="D2" s="15" t="inlineStr">
        <is>
          <t>"Revenue from operations grew 12.8% to ₹8,142 Cr in FY24 compared to ₹7,225 Cr in FY23."</t>
        </is>
      </c>
      <c r="E2" s="15" t="inlineStr">
        <is>
          <t>03-delhivery-q4-fy24-earnings-presentation.pdf (p.6)</t>
        </is>
      </c>
      <c r="F2" s="15" t="inlineStr">
        <is>
          <t>"FY24 Revenue from services: ₹8,142 Cr (YoY growth of 13%)"</t>
        </is>
      </c>
      <c r="G2" s="14" t="inlineStr">
        <is>
          <t>1120 bps divergence</t>
        </is>
      </c>
      <c r="H2" s="15" t="inlineStr">
        <is>
          <t>Exact corroboration: Delhivery's FY24 Annual Report and Q4 Earnings Presentation report the identical operational revenue of ₹8,142 Cr.</t>
        </is>
      </c>
      <c r="I2" s="14" t="inlineStr">
        <is>
          <t>98%</t>
        </is>
      </c>
    </row>
    <row r="3">
      <c r="A3" s="17" t="inlineStr">
        <is>
          <t>REL-002</t>
        </is>
      </c>
      <c r="B3" s="21" t="inlineStr">
        <is>
          <t>SUPPORTS</t>
        </is>
      </c>
      <c r="C3" s="18" t="inlineStr">
        <is>
          <t>02-delhivery-annual-report-fy24-excerpt.pdf (p.8)</t>
        </is>
      </c>
      <c r="D3" s="18" t="inlineStr">
        <is>
          <t>"Our network now covers 18,600+ pin codes across all 28 states and union territories, reaching over 96% of the Indian population."</t>
        </is>
      </c>
      <c r="E3" s="18" t="inlineStr">
        <is>
          <t>03-delhivery-q4-fy24-earnings-presentation.pdf (p.5)</t>
        </is>
      </c>
      <c r="F3" s="18" t="inlineStr">
        <is>
          <t>"Reach: 18,600+ active pin codes across India as of Q4 FY24."</t>
        </is>
      </c>
      <c r="G3" s="17" t="inlineStr">
        <is>
          <t>1850400 bps divergence</t>
        </is>
      </c>
      <c r="H3" s="18" t="inlineStr">
        <is>
          <t>Corroborated infrastructure reach: Both disclosures confirm Delhivery's nationwide coverage across 18,600+ pin codes.</t>
        </is>
      </c>
      <c r="I3" s="17" t="inlineStr">
        <is>
          <t>97%</t>
        </is>
      </c>
    </row>
    <row r="4">
      <c r="A4" s="14" t="inlineStr">
        <is>
          <t>REL-003</t>
        </is>
      </c>
      <c r="B4" s="21" t="inlineStr">
        <is>
          <t>SUPPORTS</t>
        </is>
      </c>
      <c r="C4" s="15" t="inlineStr">
        <is>
          <t>02-delhivery-annual-report-fy24-excerpt.pdf (p.16)</t>
        </is>
      </c>
      <c r="D4" s="15" t="inlineStr">
        <is>
          <t>"We handled 740 million express parcels during FY24, up from 663 million parcels in FY23."</t>
        </is>
      </c>
      <c r="E4" s="15" t="inlineStr">
        <is>
          <t>03-delhivery-q4-fy24-earnings-presentation.pdf (p.8)</t>
        </is>
      </c>
      <c r="F4" s="15" t="inlineStr">
        <is>
          <t>"Express Parcel volume: 740M for FY24 (176M in Q4 FY24)"</t>
        </is>
      </c>
      <c r="G4" s="14" t="inlineStr">
        <is>
          <t>0.00% (Exact Match)</t>
        </is>
      </c>
      <c r="H4" s="15" t="inlineStr">
        <is>
          <t>Corroborated operational volume: Both the annual report and investor presentation verify 740 million express parcels shipped in FY24.</t>
        </is>
      </c>
      <c r="I4" s="14" t="inlineStr">
        <is>
          <t>98%</t>
        </is>
      </c>
    </row>
    <row r="5">
      <c r="A5" s="17" t="inlineStr">
        <is>
          <t>REL-004</t>
        </is>
      </c>
      <c r="B5" s="21" t="inlineStr">
        <is>
          <t>SUPPORTS</t>
        </is>
      </c>
      <c r="C5" s="18" t="inlineStr">
        <is>
          <t>02-delhivery-annual-report-fy24-excerpt.pdf (p.18)</t>
        </is>
      </c>
      <c r="D5" s="18" t="inlineStr">
        <is>
          <t>"PTL freight volume expanded to 1.4 million tonnes in FY24, registering a robust 29.8% YoY growth."</t>
        </is>
      </c>
      <c r="E5" s="18" t="inlineStr">
        <is>
          <t>03-delhivery-q4-fy24-earnings-presentation.pdf (p.6)</t>
        </is>
      </c>
      <c r="F5" s="18" t="inlineStr">
        <is>
          <t>"1.4 Mn Tons PTL freight tonnage in FY24 (YoY: 29.8%)"</t>
        </is>
      </c>
      <c r="G5" s="17" t="inlineStr">
        <is>
          <t>0 bps (Exact Match)</t>
        </is>
      </c>
      <c r="H5" s="18" t="inlineStr">
        <is>
          <t>Corroborated freight tonnage: Both sources report identical PTL freight tonnage of 1.4 million metric tonnes (29.8% YoY growth).</t>
        </is>
      </c>
      <c r="I5" s="17" t="inlineStr">
        <is>
          <t>99%</t>
        </is>
      </c>
    </row>
    <row r="6">
      <c r="A6" s="14" t="inlineStr">
        <is>
          <t>REL-005</t>
        </is>
      </c>
      <c r="B6" s="22" t="inlineStr">
        <is>
          <t>CONTRADICTS</t>
        </is>
      </c>
      <c r="C6" s="15" t="inlineStr">
        <is>
          <t>02-delhivery-annual-report-fy24-excerpt.pdf (p.48)</t>
        </is>
      </c>
      <c r="D6" s="15" t="inlineStr">
        <is>
          <t>"Reported EBITDA under Ind AS stood at ₹179 Cr for FY24, translating to an EBITDA margin of 2.2%."</t>
        </is>
      </c>
      <c r="E6" s="15" t="inlineStr">
        <is>
          <t>03-delhivery-q4-fy24-earnings-presentation.pdf (p.7)</t>
        </is>
      </c>
      <c r="F6" s="15" t="inlineStr">
        <is>
          <t>"Q4 FY24 Adjusted EBITDA margin: 4.1% (₹85 Cr) excluding Spoton integration and non-cash items."</t>
        </is>
      </c>
      <c r="G6" s="14" t="inlineStr">
        <is>
          <t>190 bps divergence</t>
        </is>
      </c>
      <c r="H6" s="15" t="inlineStr">
        <is>
          <t>Direct metric contradiction: The FY24 Annual Report states statutory Ind AS EBITDA margin was 2.2% (₹179 Cr), conflicting with the 4.1% Adjusted EBITDA claimed in the earnings presentation due to divergent treatment of non-cash Spoton integration amortization.</t>
        </is>
      </c>
      <c r="I6" s="14" t="inlineStr">
        <is>
          <t>92%</t>
        </is>
      </c>
    </row>
    <row r="7">
      <c r="A7" s="17" t="inlineStr">
        <is>
          <t>REL-006</t>
        </is>
      </c>
      <c r="B7" s="22" t="inlineStr">
        <is>
          <t>CONTRADICTS</t>
        </is>
      </c>
      <c r="C7" s="18" t="inlineStr">
        <is>
          <t>01-delhivery-prospectus-2022-excerpt.pdf (p.118)</t>
        </is>
      </c>
      <c r="D7" s="18" t="inlineStr">
        <is>
          <t>"We aim to expand our market share in the organized B2B express and PTL freight market to approximately 15% by Fiscal 2024."</t>
        </is>
      </c>
      <c r="E7" s="18" t="inlineStr">
        <is>
          <t>02-delhivery-annual-report-fy24-excerpt.pdf (p.20)</t>
        </is>
      </c>
      <c r="F7" s="18" t="inlineStr">
        <is>
          <t>"According to industry estimates, our share of the organized PTL freight market reached approximately 8.3% in FY24."</t>
        </is>
      </c>
      <c r="G7" s="17" t="inlineStr">
        <is>
          <t>670 bps divergence</t>
        </is>
      </c>
      <c r="H7" s="18" t="inlineStr">
        <is>
          <t>Projection contradiction: The 2022 IPO Prospectus targeted 15% market share in organized PTL freight by FY24, which directly contradicts the actual realized market share of 8.3% disclosed in the FY24 Annual Report.</t>
        </is>
      </c>
      <c r="I7" s="17" t="inlineStr">
        <is>
          <t>91%</t>
        </is>
      </c>
    </row>
    <row r="8">
      <c r="A8" s="14" t="inlineStr">
        <is>
          <t>REL-007</t>
        </is>
      </c>
      <c r="B8" s="23" t="inlineStr">
        <is>
          <t>RECONCILES</t>
        </is>
      </c>
      <c r="C8" s="15" t="inlineStr">
        <is>
          <t>01-delhivery-prospectus-2022-excerpt.pdf (p.31)</t>
        </is>
      </c>
      <c r="D8" s="15" t="inlineStr">
        <is>
          <t>"Our revenue from contracts with customers was ₹36,465.27 million in Fiscal 2021"</t>
        </is>
      </c>
      <c r="E8" s="15" t="inlineStr">
        <is>
          <t>02-delhivery-annual-report-fy24-excerpt.pdf (p.14)</t>
        </is>
      </c>
      <c r="F8" s="15" t="inlineStr">
        <is>
          <t>"Revenue from operations grew 12.8% to ₹8,142 Cr in FY24 compared to ₹7,225 Cr in FY23."</t>
        </is>
      </c>
      <c r="G8" s="14" t="inlineStr">
        <is>
          <t>100.00% Variance</t>
        </is>
      </c>
      <c r="H8" s="15" t="inlineStr">
        <is>
          <t>Reconciled by temporal timeline: Revenue grew 123% from ₹3,646.5 Cr in FY21 to ₹8,142 Cr in FY24 due to rapid organic e-commerce volume expansion and the strategic acquisition of Spoton Logistics.</t>
        </is>
      </c>
      <c r="I8" s="14" t="inlineStr">
        <is>
          <t>95%</t>
        </is>
      </c>
    </row>
    <row r="9">
      <c r="A9" s="17" t="inlineStr">
        <is>
          <t>REL-008</t>
        </is>
      </c>
      <c r="B9" s="23" t="inlineStr">
        <is>
          <t>RECONCILES</t>
        </is>
      </c>
      <c r="C9" s="18" t="inlineStr">
        <is>
          <t>01-delhivery-prospectus-2022-excerpt.pdf (p.102)</t>
        </is>
      </c>
      <c r="D9" s="18" t="inlineStr">
        <is>
          <t>"We covered 17,042 pin codes, representing 88.3% of the total 19,300 pin codes in India as of June 30, 2021."</t>
        </is>
      </c>
      <c r="E9" s="18" t="inlineStr">
        <is>
          <t>02-delhivery-annual-report-fy24-excerpt.pdf (p.8)</t>
        </is>
      </c>
      <c r="F9" s="18" t="inlineStr">
        <is>
          <t>"Our network now covers 18,600+ pin codes across all 28 states and union territories, reaching over 96% of the Indian population."</t>
        </is>
      </c>
      <c r="G9" s="17" t="inlineStr">
        <is>
          <t>770 bps divergence</t>
        </is>
      </c>
      <c r="H9" s="18" t="inlineStr">
        <is>
          <t>Reconciled by geographic expansion: The network grew from 17,000+ pin codes in 2021 to 18,600+ in 2024 as Delhivery expanded Tier-3/Tier-4 last-mile coverage.</t>
        </is>
      </c>
      <c r="I9" s="17" t="inlineStr">
        <is>
          <t>94%</t>
        </is>
      </c>
    </row>
    <row r="10">
      <c r="A10" s="14" t="inlineStr">
        <is>
          <t>REL-009</t>
        </is>
      </c>
      <c r="B10" s="23" t="inlineStr">
        <is>
          <t>RECONCILES</t>
        </is>
      </c>
      <c r="C10" s="15" t="inlineStr">
        <is>
          <t>01-delhivery-prospectus-2022-excerpt.pdf (p.104)</t>
        </is>
      </c>
      <c r="D10" s="15" t="inlineStr">
        <is>
          <t>"We shipped 289.20 million express parcel orders in Fiscal 2021."</t>
        </is>
      </c>
      <c r="E10" s="15" t="inlineStr">
        <is>
          <t>02-delhivery-annual-report-fy24-excerpt.pdf (p.16)</t>
        </is>
      </c>
      <c r="F10" s="15" t="inlineStr">
        <is>
          <t>"We handled 740 million express parcels during FY24, up from 663 million parcels in FY23."</t>
        </is>
      </c>
      <c r="G10" s="14" t="inlineStr">
        <is>
          <t>+156.1% (Multi-Year Growth)</t>
        </is>
      </c>
      <c r="H10" s="15" t="inlineStr">
        <is>
          <t>Reconciled by multi-year scaling: Annual express parcel shipments grew from 289M to 740M reflecting broader market maturation between 2021 and 2024.</t>
        </is>
      </c>
      <c r="I10" s="14" t="inlineStr">
        <is>
          <t>93%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2026-09-09T05:02:51Z</dcterms:created>
  <dcterms:modified xsi:type="dcterms:W3CDTF">2026-09-09T05:02:52Z</dcterms:modified>
</cp:coreProperties>
</file>